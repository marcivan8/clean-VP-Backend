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latform Breakdown" sheetId="2" state="visible" r:id="rId4"/>
    <sheet name="Content Pillars" sheetId="3" state="visible" r:id="rId5"/>
    <sheet name="KPI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<sst xmlns="http://schemas.openxmlformats.org/spreadsheetml/2006/main" count="399" uniqueCount="207">
  <si>
    <t xml:space="preserve">VIBED — 4-Week Content Calendar  |  Juillet 2025</t>
  </si>
  <si>
    <t xml:space="preserve">Plateformes : Instagram · TikTok · LinkedIn · YouTube    |    Funnel : TOFU = Awareness | MOFU = Consideration | BOFU = Decision</t>
  </si>
  <si>
    <t xml:space="preserve">Semaine</t>
  </si>
  <si>
    <t xml:space="preserve">Jour</t>
  </si>
  <si>
    <t xml:space="preserve">Date</t>
  </si>
  <si>
    <t xml:space="preserve">Plateforme</t>
  </si>
  <si>
    <t xml:space="preserve">Type</t>
  </si>
  <si>
    <t xml:space="preserve">Pilier</t>
  </si>
  <si>
    <t xml:space="preserve">Funnel</t>
  </si>
  <si>
    <t xml:space="preserve">Sujet / Titre</t>
  </si>
  <si>
    <t xml:space="preserve">Lun</t>
  </si>
  <si>
    <t xml:space="preserve">07 Jul</t>
  </si>
  <si>
    <t xml:space="preserve">Instagram</t>
  </si>
  <si>
    <t xml:space="preserve">Reel</t>
  </si>
  <si>
    <t xml:space="preserve">Transformation</t>
  </si>
  <si>
    <t xml:space="preserve">TOFU</t>
  </si>
  <si>
    <t xml:space="preserve">J'ai edite 1h de podcast en 12 minutes (screen record live)</t>
  </si>
  <si>
    <t xml:space="preserve">TikTok</t>
  </si>
  <si>
    <t xml:space="preserve">Video</t>
  </si>
  <si>
    <t xml:space="preserve">POV: tu lances VIBED pour la 1ere fois — IA coupe 40min de silence</t>
  </si>
  <si>
    <t xml:space="preserve">Mar</t>
  </si>
  <si>
    <t xml:space="preserve">08 Jul</t>
  </si>
  <si>
    <t xml:space="preserve">LinkedIn</t>
  </si>
  <si>
    <t xml:space="preserve">Post texte</t>
  </si>
  <si>
    <t xml:space="preserve">Fondateur</t>
  </si>
  <si>
    <t xml:space="preserve">MOFU</t>
  </si>
  <si>
    <t xml:space="preserve">Pourquoi j'ai quitte mon job pour construire un editeur video IA</t>
  </si>
  <si>
    <t xml:space="preserve">Mer</t>
  </si>
  <si>
    <t xml:space="preserve">09 Jul</t>
  </si>
  <si>
    <t xml:space="preserve">Carousel</t>
  </si>
  <si>
    <t xml:space="preserve">Education</t>
  </si>
  <si>
    <t xml:space="preserve">5 fonctionnalites IA que les creators ne connaissent pas encore</t>
  </si>
  <si>
    <t xml:space="preserve">Le secret pour editer une video en 10 minutes flat</t>
  </si>
  <si>
    <t xml:space="preserve">Jeu</t>
  </si>
  <si>
    <t xml:space="preserve">10 Jul</t>
  </si>
  <si>
    <t xml:space="preserve">YouTube</t>
  </si>
  <si>
    <t xml:space="preserve">Short</t>
  </si>
  <si>
    <t xml:space="preserve">BEFORE vs AFTER : 3h de footage edite en 15 min avec VIBED</t>
  </si>
  <si>
    <t xml:space="preserve">Ven</t>
  </si>
  <si>
    <t xml:space="preserve">11 Jul</t>
  </si>
  <si>
    <t xml:space="preserve">Story</t>
  </si>
  <si>
    <t xml:space="preserve">Produit</t>
  </si>
  <si>
    <t xml:space="preserve">BOFU</t>
  </si>
  <si>
    <t xml:space="preserve">CTA : Essaie VIBED gratuitement — lien en bio</t>
  </si>
  <si>
    <t xml:space="preserve">Le workflow d'edition video que j'aurais voulu connaitre il y a 2 ans</t>
  </si>
  <si>
    <t xml:space="preserve">Sam</t>
  </si>
  <si>
    <t xml:space="preserve">12 Jul</t>
  </si>
  <si>
    <t xml:space="preserve">Social Proof</t>
  </si>
  <si>
    <t xml:space="preserve">Ce creator a reduit son temps de montage de 80% (reaction)</t>
  </si>
  <si>
    <t xml:space="preserve">Dim</t>
  </si>
  <si>
    <t xml:space="preserve">13 Jul</t>
  </si>
  <si>
    <t xml:space="preserve">Long-form</t>
  </si>
  <si>
    <t xml:space="preserve">VIBED Tutorial Complet : De Zero a Video Exportee en 20 minutes</t>
  </si>
  <si>
    <t xml:space="preserve">14 Jul</t>
  </si>
  <si>
    <t xml:space="preserve">Nouveau : multicam virtuel depuis 1 seul angle — comment ca marche</t>
  </si>
  <si>
    <t xml:space="preserve">L'IA qui cree un effet multicam avec 1 seule camera #VIBED</t>
  </si>
  <si>
    <t xml:space="preserve">15 Jul</t>
  </si>
  <si>
    <t xml:space="preserve">Carousel PDF</t>
  </si>
  <si>
    <t xml:space="preserve">Inbound vs Outbound pour les creators en 2025 (votre strategie)</t>
  </si>
  <si>
    <t xml:space="preserve">16 Jul</t>
  </si>
  <si>
    <t xml:space="preserve">Avant/Apres : podcast brut vs clip edite avec VIBED IA</t>
  </si>
  <si>
    <t xml:space="preserve">Comment supprimer TOUS les silences de ta video en 1 clic</t>
  </si>
  <si>
    <t xml:space="preserve">17 Jul</t>
  </si>
  <si>
    <t xml:space="preserve">VIBED vs Descript vs CapCut : Lequel choisir en 2025 ? (Honnete)</t>
  </si>
  <si>
    <t xml:space="preserve">18 Jul</t>
  </si>
  <si>
    <t xml:space="preserve">Temoignage : 'VIBED a change ma facon de creer du contenu'</t>
  </si>
  <si>
    <t xml:space="preserve">3 lecons apprises en construisant VIBED en public</t>
  </si>
  <si>
    <t xml:space="preserve">19 Jul</t>
  </si>
  <si>
    <t xml:space="preserve">Tu edites encore manuellement ? Regarde ce que fait VIBED</t>
  </si>
  <si>
    <t xml:space="preserve">20 Jul</t>
  </si>
  <si>
    <t xml:space="preserve">Export Premiere Pro en 1 clic — workflow pro avec VIBED</t>
  </si>
  <si>
    <t xml:space="preserve">21 Jul</t>
  </si>
  <si>
    <t xml:space="preserve">3 astuces pour editer plus vite avec l'IA (que tu ne fais pas encore)</t>
  </si>
  <si>
    <t xml:space="preserve">Building in public : ce qu'on a ship cette semaine chez VIBED</t>
  </si>
  <si>
    <t xml:space="preserve">22 Jul</t>
  </si>
  <si>
    <t xml:space="preserve">Article</t>
  </si>
  <si>
    <t xml:space="preserve">Le futur du montage video : pourquoi l'IA conversationnelle va tout changer</t>
  </si>
  <si>
    <t xml:space="preserve">23 Jul</t>
  </si>
  <si>
    <t xml:space="preserve">Comment VIBED exporte vers Premiere Pro, DaVinci et Final Cut</t>
  </si>
  <si>
    <t xml:space="preserve">Un podcaster teste VIBED pour la 1ere fois — sa reaction en live</t>
  </si>
  <si>
    <t xml:space="preserve">24 Jul</t>
  </si>
  <si>
    <t xml:space="preserve">Comment editer un podcast video avec VIBED — tuto complet</t>
  </si>
  <si>
    <t xml:space="preserve">25 Jul</t>
  </si>
  <si>
    <t xml:space="preserve">Cette semaine seulement : rejoins les 100 premiers Early Adopters</t>
  </si>
  <si>
    <t xml:space="preserve">VIBED Early Adopter : 3 mois Creator gratuits pour les 100 premiers</t>
  </si>
  <si>
    <t xml:space="preserve">26 Jul</t>
  </si>
  <si>
    <t xml:space="preserve">5 erreurs de montage que l'IA evite automatiquement</t>
  </si>
  <si>
    <t xml:space="preserve">27 Jul</t>
  </si>
  <si>
    <t xml:space="preserve">Ce que 12 minutes d'IA font a 3h de footage brut</t>
  </si>
  <si>
    <t xml:space="preserve">28 Jul</t>
  </si>
  <si>
    <t xml:space="preserve">'J'ai gagne 2h par jour' — temoignage creator avec VIBED</t>
  </si>
  <si>
    <t xml:space="preserve">Stitch avec un creator : comment il edite ses videos avec VIBED</t>
  </si>
  <si>
    <t xml:space="preserve">29 Jul</t>
  </si>
  <si>
    <t xml:space="preserve">1 mois de VIBED en public : chiffres, lecons, prochaine etape</t>
  </si>
  <si>
    <t xml:space="preserve">30 Jul</t>
  </si>
  <si>
    <t xml:space="preserve">De l'idee au clip publie : workflow complet avec VIBED IA en 2025</t>
  </si>
  <si>
    <t xml:space="preserve">On a ajoute cette feature apres vos commentaires (transcript editing live)</t>
  </si>
  <si>
    <t xml:space="preserve">31 Jul</t>
  </si>
  <si>
    <t xml:space="preserve">Ma routine complete de creation de contenu avec VIBED — 1 semaine</t>
  </si>
  <si>
    <t xml:space="preserve">01 Aou</t>
  </si>
  <si>
    <t xml:space="preserve">Plan Creator a 15 EUR/mo — tout ce qu'il inclut (swipe up)</t>
  </si>
  <si>
    <t xml:space="preserve">ROI reel de l'IA dans l'edition video : calcul et benchmark 2025</t>
  </si>
  <si>
    <t xml:space="preserve">02 Aou</t>
  </si>
  <si>
    <t xml:space="preserve">Les creators qui utilisent VIBED vs ceux qui editent encore manuellement</t>
  </si>
  <si>
    <t xml:space="preserve">03 Aou</t>
  </si>
  <si>
    <t xml:space="preserve">Silence removal en temps reel : regarde ce que fait VIBED en 30s</t>
  </si>
  <si>
    <t xml:space="preserve">VIBED — Repartition par Plateforme</t>
  </si>
  <si>
    <t xml:space="preserve">Cadence</t>
  </si>
  <si>
    <t xml:space="preserve">Formats</t>
  </si>
  <si>
    <t xml:space="preserve">Piliers</t>
  </si>
  <si>
    <t xml:space="preserve">KPIs prioritaires</t>
  </si>
  <si>
    <t xml:space="preserve">5 posts/semaine</t>
  </si>
  <si>
    <t xml:space="preserve">3 Reels + 1 Carousel + Stories</t>
  </si>
  <si>
    <t xml:space="preserve">Transformation, Education, Social Proof, Produit</t>
  </si>
  <si>
    <t xml:space="preserve">Reach, Follower growth, Story tap rate, Link clicks</t>
  </si>
  <si>
    <t xml:space="preserve">TOFU + BOFU</t>
  </si>
  <si>
    <t xml:space="preserve">7 videos/semaine</t>
  </si>
  <si>
    <t xml:space="preserve">Videos verticales 15-60s, trending sounds</t>
  </si>
  <si>
    <t xml:space="preserve">Transformation, Fondateur, Social Proof</t>
  </si>
  <si>
    <t xml:space="preserve">Vues, Completion rate, Followers, Partages</t>
  </si>
  <si>
    <t xml:space="preserve">TOFU pure</t>
  </si>
  <si>
    <t xml:space="preserve">4 posts/semaine</t>
  </si>
  <si>
    <t xml:space="preserve">Post texte, Carousel PDF, Article (1/mois)</t>
  </si>
  <si>
    <t xml:space="preserve">Fondateur, Education, Produit</t>
  </si>
  <si>
    <t xml:space="preserve">Impressions, Engagement rate, Profile visits</t>
  </si>
  <si>
    <t xml:space="preserve">MOFU + BOFU</t>
  </si>
  <si>
    <t xml:space="preserve">2 long-form + Shorts/semaine</t>
  </si>
  <si>
    <t xml:space="preserve">Long-form 8-20min, Shorts &lt; 60s, Lives mensuel</t>
  </si>
  <si>
    <t xml:space="preserve">Education, Transformation, Produit</t>
  </si>
  <si>
    <t xml:space="preserve">Watch time, Abonnes, CTR thumbnail, Retention</t>
  </si>
  <si>
    <t xml:space="preserve">MOFU + TOFU</t>
  </si>
  <si>
    <t xml:space="preserve">VIBED — 5 Piliers de Contenu</t>
  </si>
  <si>
    <t xml:space="preserve">Theme</t>
  </si>
  <si>
    <t xml:space="preserve">Format cles</t>
  </si>
  <si>
    <t xml:space="preserve">Hook / Angle</t>
  </si>
  <si>
    <t xml:space="preserve">Plateforme principale</t>
  </si>
  <si>
    <t xml:space="preserve">1 — Transformation</t>
  </si>
  <si>
    <t xml:space="preserve">Avant/apres avec VIBED</t>
  </si>
  <si>
    <t xml:space="preserve">Reel, TikTok, YouTube Short</t>
  </si>
  <si>
    <t xml:space="preserve">"J'ai edite 1h en 12 minutes — voici comment"</t>
  </si>
  <si>
    <t xml:space="preserve">Instagram + TikTok</t>
  </si>
  <si>
    <t xml:space="preserve">2 — Education</t>
  </si>
  <si>
    <t xml:space="preserve">Tips IA &amp; edition video</t>
  </si>
  <si>
    <t xml:space="preserve">Carousel, Article LinkedIn, Tutorial YouTube</t>
  </si>
  <si>
    <t xml:space="preserve">"5 features IA que tu n'utilises pas encore"</t>
  </si>
  <si>
    <t xml:space="preserve">YouTube + LinkedIn</t>
  </si>
  <si>
    <t xml:space="preserve">3 — Fondateur</t>
  </si>
  <si>
    <t xml:space="preserve">Building in public</t>
  </si>
  <si>
    <t xml:space="preserve">LinkedIn post, Vlog YouTube</t>
  </si>
  <si>
    <t xml:space="preserve">"Ce qu'on a construit cette semaine chez VIBED"</t>
  </si>
  <si>
    <t xml:space="preserve">LinkedIn + YouTube</t>
  </si>
  <si>
    <t xml:space="preserve">4 — Social Proof</t>
  </si>
  <si>
    <t xml:space="preserve">Temoignages utilisateurs</t>
  </si>
  <si>
    <t xml:space="preserve">Story, Repost, Video UGC</t>
  </si>
  <si>
    <t xml:space="preserve">"Ce creator a gagne 2h/jour grace a VIBED"</t>
  </si>
  <si>
    <t xml:space="preserve">5 — Produit</t>
  </si>
  <si>
    <t xml:space="preserve">Features &amp; roadmap</t>
  </si>
  <si>
    <t xml:space="preserve">Demo screen recording</t>
  </si>
  <si>
    <t xml:space="preserve">"Nouveau : multicam virtuel en 1 clic"</t>
  </si>
  <si>
    <t xml:space="preserve">TikTok + Instagram</t>
  </si>
  <si>
    <t xml:space="preserve">VIBED — KPI Tracker Hebdomadaire (Juillet - Decembre 2025)</t>
  </si>
  <si>
    <t xml:space="preserve">KPI</t>
  </si>
  <si>
    <t xml:space="preserve">Formule</t>
  </si>
  <si>
    <t xml:space="preserve">Cible</t>
  </si>
  <si>
    <t xml:space="preserve">S1</t>
  </si>
  <si>
    <t xml:space="preserve">S2</t>
  </si>
  <si>
    <t xml:space="preserve">S3</t>
  </si>
  <si>
    <t xml:space="preserve">S4</t>
  </si>
  <si>
    <t xml:space="preserve">Mois Total</t>
  </si>
  <si>
    <t xml:space="preserve">Status</t>
  </si>
  <si>
    <t xml:space="preserve">Followers IG</t>
  </si>
  <si>
    <t xml:space="preserve">Nb abonnes Instagram</t>
  </si>
  <si>
    <t xml:space="preserve">&gt;10 000</t>
  </si>
  <si>
    <t xml:space="preserve">Followers TikTok</t>
  </si>
  <si>
    <t xml:space="preserve">Nb abonnes TikTok</t>
  </si>
  <si>
    <t xml:space="preserve">&gt;5 000</t>
  </si>
  <si>
    <t xml:space="preserve">Followers LI</t>
  </si>
  <si>
    <t xml:space="preserve">Nb connexions LinkedIn</t>
  </si>
  <si>
    <t xml:space="preserve">&gt;2 000</t>
  </si>
  <si>
    <t xml:space="preserve">Abonnes YT</t>
  </si>
  <si>
    <t xml:space="preserve">Nb abonnes YouTube</t>
  </si>
  <si>
    <t xml:space="preserve">&gt;1 000</t>
  </si>
  <si>
    <t xml:space="preserve">Free Sign-ups</t>
  </si>
  <si>
    <t xml:space="preserve">Nb nouveaux inscrits gratuits</t>
  </si>
  <si>
    <t xml:space="preserve">&gt;500/mo</t>
  </si>
  <si>
    <t xml:space="preserve">Creator Subs</t>
  </si>
  <si>
    <t xml:space="preserve">Nb abonnes Creator (15 EUR/mo)</t>
  </si>
  <si>
    <t xml:space="preserve">&gt;40/mo</t>
  </si>
  <si>
    <t xml:space="preserve">Pro Subs</t>
  </si>
  <si>
    <t xml:space="preserve">Nb abonnes Pro (35 EUR/mo)</t>
  </si>
  <si>
    <t xml:space="preserve">&gt;10/mo</t>
  </si>
  <si>
    <t xml:space="preserve">MRR (EUR)</t>
  </si>
  <si>
    <t xml:space="preserve">Creator*15 + Pro*35</t>
  </si>
  <si>
    <t xml:space="preserve">&gt;3 200 EUR</t>
  </si>
  <si>
    <t xml:space="preserve">Taux Conv. (%)</t>
  </si>
  <si>
    <t xml:space="preserve">Upgrades / Free users * 100</t>
  </si>
  <si>
    <t xml:space="preserve">&gt;8%</t>
  </si>
  <si>
    <t xml:space="preserve">CAC (EUR)</t>
  </si>
  <si>
    <t xml:space="preserve">Budget / Nb nouveaux clients</t>
  </si>
  <si>
    <t xml:space="preserve">&lt;20 EUR</t>
  </si>
  <si>
    <t xml:space="preserve">Reach Hebdo</t>
  </si>
  <si>
    <t xml:space="preserve">Total impressions toutes plateformes</t>
  </si>
  <si>
    <t xml:space="preserve">&gt;50 000</t>
  </si>
  <si>
    <t xml:space="preserve">CTR moyen (%)</t>
  </si>
  <si>
    <t xml:space="preserve">Clics / Impressions * 100</t>
  </si>
  <si>
    <t xml:space="preserve">&gt;2%</t>
  </si>
  <si>
    <t xml:space="preserve">Remplir colonnes S1-S4 chaque semaine. Formules calculees automatiquement. Source : IG Insights + TikTok Analytics + YT Studio + LI Analytics + Supabase + Stripe.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</si>
</sst>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0F0F"/>
      <name val="Arial"/>
      <family val="0"/>
      <charset val="1"/>
    </font>
    <font>
      <sz val="9"/>
      <color rgb="FF0F0F0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6366F1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6366F1"/>
        <bgColor rgb="FF8B5CF6"/>
      </patternFill>
    </fill>
    <fill>
      <patternFill patternType="solid">
        <fgColor rgb="FFF9FAFB"/>
        <bgColor rgb="FFFAFAFA"/>
      </patternFill>
    </fill>
    <fill>
      <patternFill patternType="solid">
        <fgColor rgb="FF0F0F0F"/>
        <bgColor rgb="FF000000"/>
      </patternFill>
    </fill>
    <fill>
      <patternFill patternType="solid">
        <fgColor rgb="FFFFF0F5"/>
        <bgColor rgb="FFFFF5F5"/>
      </patternFill>
    </fill>
    <fill>
      <patternFill patternType="solid">
        <fgColor rgb="FFE1306C"/>
        <bgColor rgb="FF993366"/>
      </patternFill>
    </fill>
    <fill>
      <patternFill patternType="solid">
        <fgColor rgb="FFF0F0F0"/>
        <bgColor rgb="FFF5F5F7"/>
      </patternFill>
    </fill>
    <fill>
      <patternFill patternType="solid">
        <fgColor rgb="FF000000"/>
        <bgColor rgb="FF0F0F0F"/>
      </patternFill>
    </fill>
    <fill>
      <patternFill patternType="solid">
        <fgColor rgb="FFEFF6FF"/>
        <bgColor rgb="FFEEF2FF"/>
      </patternFill>
    </fill>
    <fill>
      <patternFill patternType="solid">
        <fgColor rgb="FF0A66C2"/>
        <bgColor rgb="FF008080"/>
      </patternFill>
    </fill>
    <fill>
      <patternFill patternType="solid">
        <fgColor rgb="FF8B5CF6"/>
        <bgColor rgb="FF6366F1"/>
      </patternFill>
    </fill>
    <fill>
      <patternFill patternType="solid">
        <fgColor rgb="FFFFF5F5"/>
        <bgColor rgb="FFFFF0F5"/>
      </patternFill>
    </fill>
    <fill>
      <patternFill patternType="solid">
        <fgColor rgb="FFFF0000"/>
        <bgColor rgb="FFE1306C"/>
      </patternFill>
    </fill>
    <fill>
      <patternFill patternType="solid">
        <fgColor rgb="FF10B981"/>
        <bgColor rgb="FF33CCCC"/>
      </patternFill>
    </fill>
    <fill>
      <patternFill patternType="solid">
        <fgColor rgb="FF333333"/>
        <bgColor rgb="FF333300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AFB"/>
      </patternFill>
    </fill>
    <fill>
      <patternFill patternType="solid">
        <fgColor rgb="FFF59E0B"/>
        <bgColor rgb="FFFFCC00"/>
      </patternFill>
    </fill>
    <fill>
      <patternFill patternType="solid">
        <fgColor rgb="FFF5F5F7"/>
        <bgColor rgb="FFEFF6FF"/>
      </patternFill>
    </fill>
    <fill>
      <patternFill patternType="solid">
        <fgColor rgb="FFEEF2FF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7"/>
      <rgbColor rgb="FF888888"/>
      <rgbColor rgb="FF8B5CF6"/>
      <rgbColor rgb="FFE1306C"/>
      <rgbColor rgb="FFFFF5F5"/>
      <rgbColor rgb="FFEFF6FF"/>
      <rgbColor rgb="FF660066"/>
      <rgbColor rgb="FFFF8080"/>
      <rgbColor rgb="FF0A66C2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0F0F0"/>
      <rgbColor rgb="FFFAFAFA"/>
      <rgbColor rgb="FFF9FAFB"/>
      <rgbColor rgb="FFFF99CC"/>
      <rgbColor rgb="FFCC99FF"/>
      <rgbColor rgb="FFFFF0F5"/>
      <rgbColor rgb="FF6366F1"/>
      <rgbColor rgb="FF33CCCC"/>
      <rgbColor rgb="FF99CC00"/>
      <rgbColor rgb="FFFFCC00"/>
      <rgbColor rgb="FFF59E0B"/>
      <rgbColor rgb="FFFF6600"/>
      <rgbColor rgb="FF555555"/>
      <rgbColor rgb="FF969696"/>
      <rgbColor rgb="FF003366"/>
      <rgbColor rgb="FF10B981"/>
      <rgbColor rgb="FF0F0F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5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7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31.5" hidden="false" customHeight="true" outlineLevel="0" collapsed="false">
      <c r="A4" s="5" t="n">
        <v>1</v>
      </c>
      <c r="B4" s="6" t="s">
        <v>10</v>
      </c>
      <c r="C4" s="6" t="s">
        <v>11</v>
      </c>
      <c r="D4" s="7" t="s">
        <v>12</v>
      </c>
      <c r="E4" s="6" t="s">
        <v>13</v>
      </c>
      <c r="F4" s="6" t="s">
        <v>14</v>
      </c>
      <c r="G4" s="8" t="s">
        <v>15</v>
      </c>
      <c r="H4" s="9" t="s">
        <v>16</v>
      </c>
    </row>
    <row r="5" customFormat="false" ht="31.5" hidden="false" customHeight="true" outlineLevel="0" collapsed="false">
      <c r="A5" s="10" t="n">
        <v>1</v>
      </c>
      <c r="B5" s="11" t="s">
        <v>10</v>
      </c>
      <c r="C5" s="11" t="s">
        <v>11</v>
      </c>
      <c r="D5" s="12" t="s">
        <v>17</v>
      </c>
      <c r="E5" s="11" t="s">
        <v>18</v>
      </c>
      <c r="F5" s="11" t="s">
        <v>14</v>
      </c>
      <c r="G5" s="8" t="s">
        <v>15</v>
      </c>
      <c r="H5" s="13" t="s">
        <v>19</v>
      </c>
    </row>
    <row r="6" customFormat="false" ht="31.5" hidden="false" customHeight="true" outlineLevel="0" collapsed="false">
      <c r="A6" s="14" t="n">
        <v>1</v>
      </c>
      <c r="B6" s="15" t="s">
        <v>20</v>
      </c>
      <c r="C6" s="15" t="s">
        <v>21</v>
      </c>
      <c r="D6" s="16" t="s">
        <v>22</v>
      </c>
      <c r="E6" s="15" t="s">
        <v>23</v>
      </c>
      <c r="F6" s="15" t="s">
        <v>24</v>
      </c>
      <c r="G6" s="17" t="s">
        <v>25</v>
      </c>
      <c r="H6" s="18" t="s">
        <v>26</v>
      </c>
    </row>
    <row r="7" customFormat="false" ht="31.5" hidden="false" customHeight="true" outlineLevel="0" collapsed="false">
      <c r="A7" s="5" t="n">
        <v>1</v>
      </c>
      <c r="B7" s="6" t="s">
        <v>27</v>
      </c>
      <c r="C7" s="6" t="s">
        <v>28</v>
      </c>
      <c r="D7" s="7" t="s">
        <v>12</v>
      </c>
      <c r="E7" s="6" t="s">
        <v>29</v>
      </c>
      <c r="F7" s="6" t="s">
        <v>30</v>
      </c>
      <c r="G7" s="17" t="s">
        <v>25</v>
      </c>
      <c r="H7" s="9" t="s">
        <v>31</v>
      </c>
    </row>
    <row r="8" customFormat="false" ht="31.5" hidden="false" customHeight="true" outlineLevel="0" collapsed="false">
      <c r="A8" s="10" t="n">
        <v>1</v>
      </c>
      <c r="B8" s="11" t="s">
        <v>27</v>
      </c>
      <c r="C8" s="11" t="s">
        <v>28</v>
      </c>
      <c r="D8" s="12" t="s">
        <v>17</v>
      </c>
      <c r="E8" s="11" t="s">
        <v>18</v>
      </c>
      <c r="F8" s="11" t="s">
        <v>30</v>
      </c>
      <c r="G8" s="8" t="s">
        <v>15</v>
      </c>
      <c r="H8" s="13" t="s">
        <v>32</v>
      </c>
    </row>
    <row r="9" customFormat="false" ht="31.5" hidden="false" customHeight="true" outlineLevel="0" collapsed="false">
      <c r="A9" s="19" t="n">
        <v>1</v>
      </c>
      <c r="B9" s="20" t="s">
        <v>33</v>
      </c>
      <c r="C9" s="20" t="s">
        <v>34</v>
      </c>
      <c r="D9" s="21" t="s">
        <v>35</v>
      </c>
      <c r="E9" s="20" t="s">
        <v>36</v>
      </c>
      <c r="F9" s="20" t="s">
        <v>14</v>
      </c>
      <c r="G9" s="8" t="s">
        <v>15</v>
      </c>
      <c r="H9" s="22" t="s">
        <v>37</v>
      </c>
    </row>
    <row r="10" customFormat="false" ht="31.5" hidden="false" customHeight="true" outlineLevel="0" collapsed="false">
      <c r="A10" s="5" t="n">
        <v>1</v>
      </c>
      <c r="B10" s="6" t="s">
        <v>38</v>
      </c>
      <c r="C10" s="6" t="s">
        <v>39</v>
      </c>
      <c r="D10" s="7" t="s">
        <v>12</v>
      </c>
      <c r="E10" s="6" t="s">
        <v>40</v>
      </c>
      <c r="F10" s="6" t="s">
        <v>41</v>
      </c>
      <c r="G10" s="23" t="s">
        <v>42</v>
      </c>
      <c r="H10" s="9" t="s">
        <v>43</v>
      </c>
    </row>
    <row r="11" customFormat="false" ht="31.5" hidden="false" customHeight="true" outlineLevel="0" collapsed="false">
      <c r="A11" s="14" t="n">
        <v>1</v>
      </c>
      <c r="B11" s="15" t="s">
        <v>38</v>
      </c>
      <c r="C11" s="15" t="s">
        <v>39</v>
      </c>
      <c r="D11" s="16" t="s">
        <v>22</v>
      </c>
      <c r="E11" s="15" t="s">
        <v>23</v>
      </c>
      <c r="F11" s="15" t="s">
        <v>30</v>
      </c>
      <c r="G11" s="17" t="s">
        <v>25</v>
      </c>
      <c r="H11" s="18" t="s">
        <v>44</v>
      </c>
    </row>
    <row r="12" customFormat="false" ht="31.5" hidden="false" customHeight="true" outlineLevel="0" collapsed="false">
      <c r="A12" s="10" t="n">
        <v>1</v>
      </c>
      <c r="B12" s="11" t="s">
        <v>45</v>
      </c>
      <c r="C12" s="11" t="s">
        <v>46</v>
      </c>
      <c r="D12" s="12" t="s">
        <v>17</v>
      </c>
      <c r="E12" s="11" t="s">
        <v>18</v>
      </c>
      <c r="F12" s="11" t="s">
        <v>47</v>
      </c>
      <c r="G12" s="8" t="s">
        <v>15</v>
      </c>
      <c r="H12" s="13" t="s">
        <v>48</v>
      </c>
    </row>
    <row r="13" customFormat="false" ht="31.5" hidden="false" customHeight="true" outlineLevel="0" collapsed="false">
      <c r="A13" s="19" t="n">
        <v>1</v>
      </c>
      <c r="B13" s="20" t="s">
        <v>49</v>
      </c>
      <c r="C13" s="20" t="s">
        <v>50</v>
      </c>
      <c r="D13" s="21" t="s">
        <v>35</v>
      </c>
      <c r="E13" s="20" t="s">
        <v>51</v>
      </c>
      <c r="F13" s="20" t="s">
        <v>30</v>
      </c>
      <c r="G13" s="17" t="s">
        <v>25</v>
      </c>
      <c r="H13" s="22" t="s">
        <v>52</v>
      </c>
    </row>
    <row r="14" customFormat="false" ht="31.5" hidden="false" customHeight="true" outlineLevel="0" collapsed="false">
      <c r="A14" s="5" t="n">
        <v>2</v>
      </c>
      <c r="B14" s="6" t="s">
        <v>10</v>
      </c>
      <c r="C14" s="6" t="s">
        <v>53</v>
      </c>
      <c r="D14" s="7" t="s">
        <v>12</v>
      </c>
      <c r="E14" s="6" t="s">
        <v>13</v>
      </c>
      <c r="F14" s="6" t="s">
        <v>41</v>
      </c>
      <c r="G14" s="8" t="s">
        <v>15</v>
      </c>
      <c r="H14" s="9" t="s">
        <v>54</v>
      </c>
    </row>
    <row r="15" customFormat="false" ht="31.5" hidden="false" customHeight="true" outlineLevel="0" collapsed="false">
      <c r="A15" s="10" t="n">
        <v>2</v>
      </c>
      <c r="B15" s="11" t="s">
        <v>10</v>
      </c>
      <c r="C15" s="11" t="s">
        <v>53</v>
      </c>
      <c r="D15" s="12" t="s">
        <v>17</v>
      </c>
      <c r="E15" s="11" t="s">
        <v>18</v>
      </c>
      <c r="F15" s="11" t="s">
        <v>41</v>
      </c>
      <c r="G15" s="8" t="s">
        <v>15</v>
      </c>
      <c r="H15" s="13" t="s">
        <v>55</v>
      </c>
    </row>
    <row r="16" customFormat="false" ht="31.5" hidden="false" customHeight="true" outlineLevel="0" collapsed="false">
      <c r="A16" s="14" t="n">
        <v>2</v>
      </c>
      <c r="B16" s="15" t="s">
        <v>20</v>
      </c>
      <c r="C16" s="15" t="s">
        <v>56</v>
      </c>
      <c r="D16" s="16" t="s">
        <v>22</v>
      </c>
      <c r="E16" s="15" t="s">
        <v>57</v>
      </c>
      <c r="F16" s="15" t="s">
        <v>30</v>
      </c>
      <c r="G16" s="17" t="s">
        <v>25</v>
      </c>
      <c r="H16" s="18" t="s">
        <v>58</v>
      </c>
    </row>
    <row r="17" customFormat="false" ht="31.5" hidden="false" customHeight="true" outlineLevel="0" collapsed="false">
      <c r="A17" s="5" t="n">
        <v>2</v>
      </c>
      <c r="B17" s="6" t="s">
        <v>27</v>
      </c>
      <c r="C17" s="6" t="s">
        <v>59</v>
      </c>
      <c r="D17" s="7" t="s">
        <v>12</v>
      </c>
      <c r="E17" s="6" t="s">
        <v>29</v>
      </c>
      <c r="F17" s="6" t="s">
        <v>14</v>
      </c>
      <c r="G17" s="8" t="s">
        <v>15</v>
      </c>
      <c r="H17" s="9" t="s">
        <v>60</v>
      </c>
    </row>
    <row r="18" customFormat="false" ht="31.5" hidden="false" customHeight="true" outlineLevel="0" collapsed="false">
      <c r="A18" s="10" t="n">
        <v>2</v>
      </c>
      <c r="B18" s="11" t="s">
        <v>27</v>
      </c>
      <c r="C18" s="11" t="s">
        <v>59</v>
      </c>
      <c r="D18" s="12" t="s">
        <v>17</v>
      </c>
      <c r="E18" s="11" t="s">
        <v>18</v>
      </c>
      <c r="F18" s="11" t="s">
        <v>30</v>
      </c>
      <c r="G18" s="8" t="s">
        <v>15</v>
      </c>
      <c r="H18" s="13" t="s">
        <v>61</v>
      </c>
    </row>
    <row r="19" customFormat="false" ht="31.5" hidden="false" customHeight="true" outlineLevel="0" collapsed="false">
      <c r="A19" s="19" t="n">
        <v>2</v>
      </c>
      <c r="B19" s="20" t="s">
        <v>33</v>
      </c>
      <c r="C19" s="20" t="s">
        <v>62</v>
      </c>
      <c r="D19" s="21" t="s">
        <v>35</v>
      </c>
      <c r="E19" s="20" t="s">
        <v>51</v>
      </c>
      <c r="F19" s="20" t="s">
        <v>30</v>
      </c>
      <c r="G19" s="17" t="s">
        <v>25</v>
      </c>
      <c r="H19" s="22" t="s">
        <v>63</v>
      </c>
    </row>
    <row r="20" customFormat="false" ht="31.5" hidden="false" customHeight="true" outlineLevel="0" collapsed="false">
      <c r="A20" s="5" t="n">
        <v>2</v>
      </c>
      <c r="B20" s="6" t="s">
        <v>38</v>
      </c>
      <c r="C20" s="6" t="s">
        <v>64</v>
      </c>
      <c r="D20" s="7" t="s">
        <v>12</v>
      </c>
      <c r="E20" s="6" t="s">
        <v>40</v>
      </c>
      <c r="F20" s="6" t="s">
        <v>47</v>
      </c>
      <c r="G20" s="23" t="s">
        <v>42</v>
      </c>
      <c r="H20" s="9" t="s">
        <v>65</v>
      </c>
    </row>
    <row r="21" customFormat="false" ht="31.5" hidden="false" customHeight="true" outlineLevel="0" collapsed="false">
      <c r="A21" s="14" t="n">
        <v>2</v>
      </c>
      <c r="B21" s="15" t="s">
        <v>38</v>
      </c>
      <c r="C21" s="15" t="s">
        <v>64</v>
      </c>
      <c r="D21" s="16" t="s">
        <v>22</v>
      </c>
      <c r="E21" s="15" t="s">
        <v>23</v>
      </c>
      <c r="F21" s="15" t="s">
        <v>24</v>
      </c>
      <c r="G21" s="17" t="s">
        <v>25</v>
      </c>
      <c r="H21" s="18" t="s">
        <v>66</v>
      </c>
    </row>
    <row r="22" customFormat="false" ht="31.5" hidden="false" customHeight="true" outlineLevel="0" collapsed="false">
      <c r="A22" s="10" t="n">
        <v>2</v>
      </c>
      <c r="B22" s="11" t="s">
        <v>45</v>
      </c>
      <c r="C22" s="11" t="s">
        <v>67</v>
      </c>
      <c r="D22" s="12" t="s">
        <v>17</v>
      </c>
      <c r="E22" s="11" t="s">
        <v>18</v>
      </c>
      <c r="F22" s="11" t="s">
        <v>14</v>
      </c>
      <c r="G22" s="8" t="s">
        <v>15</v>
      </c>
      <c r="H22" s="13" t="s">
        <v>68</v>
      </c>
    </row>
    <row r="23" customFormat="false" ht="31.5" hidden="false" customHeight="true" outlineLevel="0" collapsed="false">
      <c r="A23" s="19" t="n">
        <v>2</v>
      </c>
      <c r="B23" s="20" t="s">
        <v>49</v>
      </c>
      <c r="C23" s="20" t="s">
        <v>69</v>
      </c>
      <c r="D23" s="21" t="s">
        <v>35</v>
      </c>
      <c r="E23" s="20" t="s">
        <v>36</v>
      </c>
      <c r="F23" s="20" t="s">
        <v>41</v>
      </c>
      <c r="G23" s="8" t="s">
        <v>15</v>
      </c>
      <c r="H23" s="22" t="s">
        <v>70</v>
      </c>
    </row>
    <row r="24" customFormat="false" ht="31.5" hidden="false" customHeight="true" outlineLevel="0" collapsed="false">
      <c r="A24" s="5" t="n">
        <v>3</v>
      </c>
      <c r="B24" s="6" t="s">
        <v>10</v>
      </c>
      <c r="C24" s="6" t="s">
        <v>71</v>
      </c>
      <c r="D24" s="7" t="s">
        <v>12</v>
      </c>
      <c r="E24" s="6" t="s">
        <v>13</v>
      </c>
      <c r="F24" s="6" t="s">
        <v>30</v>
      </c>
      <c r="G24" s="8" t="s">
        <v>15</v>
      </c>
      <c r="H24" s="9" t="s">
        <v>72</v>
      </c>
    </row>
    <row r="25" customFormat="false" ht="31.5" hidden="false" customHeight="true" outlineLevel="0" collapsed="false">
      <c r="A25" s="10" t="n">
        <v>3</v>
      </c>
      <c r="B25" s="11" t="s">
        <v>10</v>
      </c>
      <c r="C25" s="11" t="s">
        <v>71</v>
      </c>
      <c r="D25" s="12" t="s">
        <v>17</v>
      </c>
      <c r="E25" s="11" t="s">
        <v>18</v>
      </c>
      <c r="F25" s="11" t="s">
        <v>24</v>
      </c>
      <c r="G25" s="8" t="s">
        <v>15</v>
      </c>
      <c r="H25" s="13" t="s">
        <v>73</v>
      </c>
    </row>
    <row r="26" customFormat="false" ht="31.5" hidden="false" customHeight="true" outlineLevel="0" collapsed="false">
      <c r="A26" s="14" t="n">
        <v>3</v>
      </c>
      <c r="B26" s="15" t="s">
        <v>20</v>
      </c>
      <c r="C26" s="15" t="s">
        <v>74</v>
      </c>
      <c r="D26" s="16" t="s">
        <v>22</v>
      </c>
      <c r="E26" s="15" t="s">
        <v>75</v>
      </c>
      <c r="F26" s="15" t="s">
        <v>30</v>
      </c>
      <c r="G26" s="17" t="s">
        <v>25</v>
      </c>
      <c r="H26" s="18" t="s">
        <v>76</v>
      </c>
    </row>
    <row r="27" customFormat="false" ht="31.5" hidden="false" customHeight="true" outlineLevel="0" collapsed="false">
      <c r="A27" s="5" t="n">
        <v>3</v>
      </c>
      <c r="B27" s="6" t="s">
        <v>27</v>
      </c>
      <c r="C27" s="6" t="s">
        <v>77</v>
      </c>
      <c r="D27" s="7" t="s">
        <v>12</v>
      </c>
      <c r="E27" s="6" t="s">
        <v>29</v>
      </c>
      <c r="F27" s="6" t="s">
        <v>41</v>
      </c>
      <c r="G27" s="17" t="s">
        <v>25</v>
      </c>
      <c r="H27" s="9" t="s">
        <v>78</v>
      </c>
    </row>
    <row r="28" customFormat="false" ht="31.5" hidden="false" customHeight="true" outlineLevel="0" collapsed="false">
      <c r="A28" s="10" t="n">
        <v>3</v>
      </c>
      <c r="B28" s="11" t="s">
        <v>27</v>
      </c>
      <c r="C28" s="11" t="s">
        <v>77</v>
      </c>
      <c r="D28" s="12" t="s">
        <v>17</v>
      </c>
      <c r="E28" s="11" t="s">
        <v>18</v>
      </c>
      <c r="F28" s="11" t="s">
        <v>47</v>
      </c>
      <c r="G28" s="8" t="s">
        <v>15</v>
      </c>
      <c r="H28" s="13" t="s">
        <v>79</v>
      </c>
    </row>
    <row r="29" customFormat="false" ht="31.5" hidden="false" customHeight="true" outlineLevel="0" collapsed="false">
      <c r="A29" s="19" t="n">
        <v>3</v>
      </c>
      <c r="B29" s="20" t="s">
        <v>33</v>
      </c>
      <c r="C29" s="20" t="s">
        <v>80</v>
      </c>
      <c r="D29" s="21" t="s">
        <v>35</v>
      </c>
      <c r="E29" s="20" t="s">
        <v>51</v>
      </c>
      <c r="F29" s="20" t="s">
        <v>30</v>
      </c>
      <c r="G29" s="17" t="s">
        <v>25</v>
      </c>
      <c r="H29" s="22" t="s">
        <v>81</v>
      </c>
    </row>
    <row r="30" customFormat="false" ht="31.5" hidden="false" customHeight="true" outlineLevel="0" collapsed="false">
      <c r="A30" s="5" t="n">
        <v>3</v>
      </c>
      <c r="B30" s="6" t="s">
        <v>38</v>
      </c>
      <c r="C30" s="6" t="s">
        <v>82</v>
      </c>
      <c r="D30" s="7" t="s">
        <v>12</v>
      </c>
      <c r="E30" s="6" t="s">
        <v>40</v>
      </c>
      <c r="F30" s="6" t="s">
        <v>42</v>
      </c>
      <c r="G30" s="23" t="s">
        <v>42</v>
      </c>
      <c r="H30" s="9" t="s">
        <v>83</v>
      </c>
    </row>
    <row r="31" customFormat="false" ht="31.5" hidden="false" customHeight="true" outlineLevel="0" collapsed="false">
      <c r="A31" s="14" t="n">
        <v>3</v>
      </c>
      <c r="B31" s="15" t="s">
        <v>38</v>
      </c>
      <c r="C31" s="15" t="s">
        <v>82</v>
      </c>
      <c r="D31" s="16" t="s">
        <v>22</v>
      </c>
      <c r="E31" s="15" t="s">
        <v>23</v>
      </c>
      <c r="F31" s="15" t="s">
        <v>41</v>
      </c>
      <c r="G31" s="23" t="s">
        <v>42</v>
      </c>
      <c r="H31" s="18" t="s">
        <v>84</v>
      </c>
    </row>
    <row r="32" customFormat="false" ht="31.5" hidden="false" customHeight="true" outlineLevel="0" collapsed="false">
      <c r="A32" s="10" t="n">
        <v>3</v>
      </c>
      <c r="B32" s="11" t="s">
        <v>45</v>
      </c>
      <c r="C32" s="11" t="s">
        <v>85</v>
      </c>
      <c r="D32" s="12" t="s">
        <v>17</v>
      </c>
      <c r="E32" s="11" t="s">
        <v>18</v>
      </c>
      <c r="F32" s="11" t="s">
        <v>30</v>
      </c>
      <c r="G32" s="8" t="s">
        <v>15</v>
      </c>
      <c r="H32" s="13" t="s">
        <v>86</v>
      </c>
    </row>
    <row r="33" customFormat="false" ht="31.5" hidden="false" customHeight="true" outlineLevel="0" collapsed="false">
      <c r="A33" s="19" t="n">
        <v>3</v>
      </c>
      <c r="B33" s="20" t="s">
        <v>49</v>
      </c>
      <c r="C33" s="20" t="s">
        <v>87</v>
      </c>
      <c r="D33" s="21" t="s">
        <v>35</v>
      </c>
      <c r="E33" s="20" t="s">
        <v>36</v>
      </c>
      <c r="F33" s="20" t="s">
        <v>14</v>
      </c>
      <c r="G33" s="8" t="s">
        <v>15</v>
      </c>
      <c r="H33" s="22" t="s">
        <v>88</v>
      </c>
    </row>
    <row r="34" customFormat="false" ht="31.5" hidden="false" customHeight="true" outlineLevel="0" collapsed="false">
      <c r="A34" s="5" t="n">
        <v>4</v>
      </c>
      <c r="B34" s="6" t="s">
        <v>10</v>
      </c>
      <c r="C34" s="6" t="s">
        <v>89</v>
      </c>
      <c r="D34" s="7" t="s">
        <v>12</v>
      </c>
      <c r="E34" s="6" t="s">
        <v>13</v>
      </c>
      <c r="F34" s="6" t="s">
        <v>47</v>
      </c>
      <c r="G34" s="8" t="s">
        <v>15</v>
      </c>
      <c r="H34" s="9" t="s">
        <v>90</v>
      </c>
    </row>
    <row r="35" customFormat="false" ht="31.5" hidden="false" customHeight="true" outlineLevel="0" collapsed="false">
      <c r="A35" s="10" t="n">
        <v>4</v>
      </c>
      <c r="B35" s="11" t="s">
        <v>10</v>
      </c>
      <c r="C35" s="11" t="s">
        <v>89</v>
      </c>
      <c r="D35" s="12" t="s">
        <v>17</v>
      </c>
      <c r="E35" s="11" t="s">
        <v>18</v>
      </c>
      <c r="F35" s="11" t="s">
        <v>14</v>
      </c>
      <c r="G35" s="8" t="s">
        <v>15</v>
      </c>
      <c r="H35" s="13" t="s">
        <v>91</v>
      </c>
    </row>
    <row r="36" customFormat="false" ht="31.5" hidden="false" customHeight="true" outlineLevel="0" collapsed="false">
      <c r="A36" s="14" t="n">
        <v>4</v>
      </c>
      <c r="B36" s="15" t="s">
        <v>20</v>
      </c>
      <c r="C36" s="15" t="s">
        <v>92</v>
      </c>
      <c r="D36" s="16" t="s">
        <v>22</v>
      </c>
      <c r="E36" s="15" t="s">
        <v>23</v>
      </c>
      <c r="F36" s="15" t="s">
        <v>24</v>
      </c>
      <c r="G36" s="17" t="s">
        <v>25</v>
      </c>
      <c r="H36" s="18" t="s">
        <v>93</v>
      </c>
    </row>
    <row r="37" customFormat="false" ht="31.5" hidden="false" customHeight="true" outlineLevel="0" collapsed="false">
      <c r="A37" s="5" t="n">
        <v>4</v>
      </c>
      <c r="B37" s="6" t="s">
        <v>27</v>
      </c>
      <c r="C37" s="6" t="s">
        <v>94</v>
      </c>
      <c r="D37" s="7" t="s">
        <v>12</v>
      </c>
      <c r="E37" s="6" t="s">
        <v>29</v>
      </c>
      <c r="F37" s="6" t="s">
        <v>30</v>
      </c>
      <c r="G37" s="17" t="s">
        <v>25</v>
      </c>
      <c r="H37" s="9" t="s">
        <v>95</v>
      </c>
    </row>
    <row r="38" customFormat="false" ht="31.5" hidden="false" customHeight="true" outlineLevel="0" collapsed="false">
      <c r="A38" s="10" t="n">
        <v>4</v>
      </c>
      <c r="B38" s="11" t="s">
        <v>27</v>
      </c>
      <c r="C38" s="11" t="s">
        <v>94</v>
      </c>
      <c r="D38" s="12" t="s">
        <v>17</v>
      </c>
      <c r="E38" s="11" t="s">
        <v>18</v>
      </c>
      <c r="F38" s="11" t="s">
        <v>41</v>
      </c>
      <c r="G38" s="8" t="s">
        <v>15</v>
      </c>
      <c r="H38" s="13" t="s">
        <v>96</v>
      </c>
    </row>
    <row r="39" customFormat="false" ht="31.5" hidden="false" customHeight="true" outlineLevel="0" collapsed="false">
      <c r="A39" s="19" t="n">
        <v>4</v>
      </c>
      <c r="B39" s="20" t="s">
        <v>33</v>
      </c>
      <c r="C39" s="20" t="s">
        <v>97</v>
      </c>
      <c r="D39" s="21" t="s">
        <v>35</v>
      </c>
      <c r="E39" s="20" t="s">
        <v>51</v>
      </c>
      <c r="F39" s="20" t="s">
        <v>30</v>
      </c>
      <c r="G39" s="17" t="s">
        <v>25</v>
      </c>
      <c r="H39" s="22" t="s">
        <v>98</v>
      </c>
    </row>
    <row r="40" customFormat="false" ht="31.5" hidden="false" customHeight="true" outlineLevel="0" collapsed="false">
      <c r="A40" s="5" t="n">
        <v>4</v>
      </c>
      <c r="B40" s="6" t="s">
        <v>38</v>
      </c>
      <c r="C40" s="6" t="s">
        <v>99</v>
      </c>
      <c r="D40" s="7" t="s">
        <v>12</v>
      </c>
      <c r="E40" s="6" t="s">
        <v>40</v>
      </c>
      <c r="F40" s="6" t="s">
        <v>42</v>
      </c>
      <c r="G40" s="23" t="s">
        <v>42</v>
      </c>
      <c r="H40" s="9" t="s">
        <v>100</v>
      </c>
    </row>
    <row r="41" customFormat="false" ht="31.5" hidden="false" customHeight="true" outlineLevel="0" collapsed="false">
      <c r="A41" s="14" t="n">
        <v>4</v>
      </c>
      <c r="B41" s="15" t="s">
        <v>38</v>
      </c>
      <c r="C41" s="15" t="s">
        <v>99</v>
      </c>
      <c r="D41" s="16" t="s">
        <v>22</v>
      </c>
      <c r="E41" s="15" t="s">
        <v>57</v>
      </c>
      <c r="F41" s="15" t="s">
        <v>30</v>
      </c>
      <c r="G41" s="17" t="s">
        <v>25</v>
      </c>
      <c r="H41" s="18" t="s">
        <v>101</v>
      </c>
    </row>
    <row r="42" customFormat="false" ht="31.5" hidden="false" customHeight="true" outlineLevel="0" collapsed="false">
      <c r="A42" s="10" t="n">
        <v>4</v>
      </c>
      <c r="B42" s="11" t="s">
        <v>45</v>
      </c>
      <c r="C42" s="11" t="s">
        <v>102</v>
      </c>
      <c r="D42" s="12" t="s">
        <v>17</v>
      </c>
      <c r="E42" s="11" t="s">
        <v>18</v>
      </c>
      <c r="F42" s="11" t="s">
        <v>47</v>
      </c>
      <c r="G42" s="8" t="s">
        <v>15</v>
      </c>
      <c r="H42" s="13" t="s">
        <v>103</v>
      </c>
    </row>
    <row r="43" customFormat="false" ht="31.5" hidden="false" customHeight="true" outlineLevel="0" collapsed="false">
      <c r="A43" s="19" t="n">
        <v>4</v>
      </c>
      <c r="B43" s="20" t="s">
        <v>49</v>
      </c>
      <c r="C43" s="20" t="s">
        <v>104</v>
      </c>
      <c r="D43" s="21" t="s">
        <v>35</v>
      </c>
      <c r="E43" s="20" t="s">
        <v>36</v>
      </c>
      <c r="F43" s="20" t="s">
        <v>41</v>
      </c>
      <c r="G43" s="8" t="s">
        <v>15</v>
      </c>
      <c r="H43" s="22" t="s">
        <v>105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5" min="5" style="1" width="32"/>
    <col collapsed="false" customWidth="true" hidden="false" outlineLevel="0" max="6" min="6" style="1" width="12"/>
  </cols>
  <sheetData>
    <row r="1" customFormat="false" ht="33.75" hidden="false" customHeight="true" outlineLevel="0" collapsed="false">
      <c r="A1" s="24" t="s">
        <v>106</v>
      </c>
      <c r="B1" s="24"/>
      <c r="C1" s="24"/>
      <c r="D1" s="24"/>
      <c r="E1" s="24"/>
      <c r="F1" s="24"/>
    </row>
    <row r="2" customFormat="false" ht="21.75" hidden="false" customHeight="true" outlineLevel="0" collapsed="false">
      <c r="A2" s="25" t="s">
        <v>5</v>
      </c>
      <c r="B2" s="25" t="s">
        <v>107</v>
      </c>
      <c r="C2" s="25" t="s">
        <v>108</v>
      </c>
      <c r="D2" s="25" t="s">
        <v>109</v>
      </c>
      <c r="E2" s="25" t="s">
        <v>110</v>
      </c>
      <c r="F2" s="25" t="s">
        <v>8</v>
      </c>
    </row>
    <row r="3" customFormat="false" ht="51.75" hidden="false" customHeight="true" outlineLevel="0" collapsed="false">
      <c r="A3" s="26" t="s">
        <v>12</v>
      </c>
      <c r="B3" s="27" t="s">
        <v>111</v>
      </c>
      <c r="C3" s="27" t="s">
        <v>112</v>
      </c>
      <c r="D3" s="27" t="s">
        <v>113</v>
      </c>
      <c r="E3" s="27" t="s">
        <v>114</v>
      </c>
      <c r="F3" s="27" t="s">
        <v>115</v>
      </c>
    </row>
    <row r="4" customFormat="false" ht="51.75" hidden="false" customHeight="true" outlineLevel="0" collapsed="false">
      <c r="A4" s="28" t="s">
        <v>17</v>
      </c>
      <c r="B4" s="29" t="s">
        <v>116</v>
      </c>
      <c r="C4" s="29" t="s">
        <v>117</v>
      </c>
      <c r="D4" s="29" t="s">
        <v>118</v>
      </c>
      <c r="E4" s="29" t="s">
        <v>119</v>
      </c>
      <c r="F4" s="29" t="s">
        <v>120</v>
      </c>
    </row>
    <row r="5" customFormat="false" ht="51.75" hidden="false" customHeight="true" outlineLevel="0" collapsed="false">
      <c r="A5" s="30" t="s">
        <v>22</v>
      </c>
      <c r="B5" s="27" t="s">
        <v>121</v>
      </c>
      <c r="C5" s="27" t="s">
        <v>122</v>
      </c>
      <c r="D5" s="27" t="s">
        <v>123</v>
      </c>
      <c r="E5" s="27" t="s">
        <v>124</v>
      </c>
      <c r="F5" s="27" t="s">
        <v>125</v>
      </c>
    </row>
    <row r="6" customFormat="false" ht="51.75" hidden="false" customHeight="true" outlineLevel="0" collapsed="false">
      <c r="A6" s="31" t="s">
        <v>35</v>
      </c>
      <c r="B6" s="29" t="s">
        <v>126</v>
      </c>
      <c r="C6" s="29" t="s">
        <v>127</v>
      </c>
      <c r="D6" s="29" t="s">
        <v>128</v>
      </c>
      <c r="E6" s="29" t="s">
        <v>129</v>
      </c>
      <c r="F6" s="29" t="s">
        <v>130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38"/>
    <col collapsed="false" customWidth="true" hidden="false" outlineLevel="0" max="5" min="5" style="1" width="18"/>
  </cols>
  <sheetData>
    <row r="1" customFormat="false" ht="33.75" hidden="false" customHeight="true" outlineLevel="0" collapsed="false">
      <c r="A1" s="32" t="s">
        <v>131</v>
      </c>
      <c r="B1" s="32"/>
      <c r="C1" s="32"/>
      <c r="D1" s="32"/>
      <c r="E1" s="32"/>
    </row>
    <row r="2" customFormat="false" ht="21.75" hidden="false" customHeight="true" outlineLevel="0" collapsed="false">
      <c r="A2" s="4" t="s">
        <v>7</v>
      </c>
      <c r="B2" s="4" t="s">
        <v>132</v>
      </c>
      <c r="C2" s="4" t="s">
        <v>133</v>
      </c>
      <c r="D2" s="4" t="s">
        <v>134</v>
      </c>
      <c r="E2" s="4" t="s">
        <v>135</v>
      </c>
    </row>
    <row r="3" customFormat="false" ht="45.75" hidden="false" customHeight="true" outlineLevel="0" collapsed="false">
      <c r="A3" s="33" t="s">
        <v>136</v>
      </c>
      <c r="B3" s="27" t="s">
        <v>137</v>
      </c>
      <c r="C3" s="27" t="s">
        <v>138</v>
      </c>
      <c r="D3" s="27" t="s">
        <v>139</v>
      </c>
      <c r="E3" s="27" t="s">
        <v>140</v>
      </c>
    </row>
    <row r="4" customFormat="false" ht="45.75" hidden="false" customHeight="true" outlineLevel="0" collapsed="false">
      <c r="A4" s="34" t="s">
        <v>141</v>
      </c>
      <c r="B4" s="35" t="s">
        <v>142</v>
      </c>
      <c r="C4" s="35" t="s">
        <v>143</v>
      </c>
      <c r="D4" s="35" t="s">
        <v>144</v>
      </c>
      <c r="E4" s="35" t="s">
        <v>145</v>
      </c>
    </row>
    <row r="5" customFormat="false" ht="45.75" hidden="false" customHeight="true" outlineLevel="0" collapsed="false">
      <c r="A5" s="36" t="s">
        <v>146</v>
      </c>
      <c r="B5" s="27" t="s">
        <v>147</v>
      </c>
      <c r="C5" s="27" t="s">
        <v>148</v>
      </c>
      <c r="D5" s="27" t="s">
        <v>149</v>
      </c>
      <c r="E5" s="27" t="s">
        <v>150</v>
      </c>
    </row>
    <row r="6" customFormat="false" ht="45.75" hidden="false" customHeight="true" outlineLevel="0" collapsed="false">
      <c r="A6" s="37" t="s">
        <v>151</v>
      </c>
      <c r="B6" s="35" t="s">
        <v>152</v>
      </c>
      <c r="C6" s="35" t="s">
        <v>153</v>
      </c>
      <c r="D6" s="35" t="s">
        <v>154</v>
      </c>
      <c r="E6" s="35" t="s">
        <v>140</v>
      </c>
    </row>
    <row r="7" customFormat="false" ht="45.75" hidden="false" customHeight="true" outlineLevel="0" collapsed="false">
      <c r="A7" s="38" t="s">
        <v>155</v>
      </c>
      <c r="B7" s="27" t="s">
        <v>156</v>
      </c>
      <c r="C7" s="27" t="s">
        <v>157</v>
      </c>
      <c r="D7" s="27" t="s">
        <v>158</v>
      </c>
      <c r="E7" s="27" t="s">
        <v>159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7" min="4" style="1" width="1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33.75" hidden="false" customHeight="true" outlineLevel="0" collapsed="false">
      <c r="A1" s="24" t="s">
        <v>160</v>
      </c>
      <c r="B1" s="24"/>
      <c r="C1" s="24"/>
      <c r="D1" s="24"/>
      <c r="E1" s="24"/>
      <c r="F1" s="24"/>
      <c r="G1" s="24"/>
      <c r="H1" s="24"/>
      <c r="I1" s="24"/>
    </row>
    <row r="2" customFormat="false" ht="21.75" hidden="false" customHeight="true" outlineLevel="0" collapsed="false">
      <c r="A2" s="33" t="s">
        <v>161</v>
      </c>
      <c r="B2" s="33" t="s">
        <v>162</v>
      </c>
      <c r="C2" s="33" t="s">
        <v>163</v>
      </c>
      <c r="D2" s="33" t="s">
        <v>164</v>
      </c>
      <c r="E2" s="33" t="s">
        <v>165</v>
      </c>
      <c r="F2" s="33" t="s">
        <v>166</v>
      </c>
      <c r="G2" s="33" t="s">
        <v>167</v>
      </c>
      <c r="H2" s="33" t="s">
        <v>168</v>
      </c>
      <c r="I2" s="33" t="s">
        <v>169</v>
      </c>
    </row>
    <row r="3" customFormat="false" ht="27.75" hidden="false" customHeight="true" outlineLevel="0" collapsed="false">
      <c r="A3" s="39" t="s">
        <v>170</v>
      </c>
      <c r="B3" s="27" t="s">
        <v>171</v>
      </c>
      <c r="C3" s="40" t="s">
        <v>172</v>
      </c>
      <c r="D3" s="41"/>
      <c r="E3" s="41"/>
      <c r="F3" s="41"/>
      <c r="G3" s="41"/>
      <c r="H3" s="42" t="n">
        <f aca="false">SUM(D3:G3)</f>
        <v>0</v>
      </c>
      <c r="I3" s="41"/>
    </row>
    <row r="4" customFormat="false" ht="27.75" hidden="false" customHeight="true" outlineLevel="0" collapsed="false">
      <c r="A4" s="39" t="s">
        <v>173</v>
      </c>
      <c r="B4" s="35" t="s">
        <v>174</v>
      </c>
      <c r="C4" s="40" t="s">
        <v>175</v>
      </c>
      <c r="D4" s="43"/>
      <c r="E4" s="43"/>
      <c r="F4" s="43"/>
      <c r="G4" s="43"/>
      <c r="H4" s="42" t="n">
        <f aca="false">SUM(D4:G4)</f>
        <v>0</v>
      </c>
      <c r="I4" s="43"/>
    </row>
    <row r="5" customFormat="false" ht="27.75" hidden="false" customHeight="true" outlineLevel="0" collapsed="false">
      <c r="A5" s="39" t="s">
        <v>176</v>
      </c>
      <c r="B5" s="27" t="s">
        <v>177</v>
      </c>
      <c r="C5" s="40" t="s">
        <v>178</v>
      </c>
      <c r="D5" s="41"/>
      <c r="E5" s="41"/>
      <c r="F5" s="41"/>
      <c r="G5" s="41"/>
      <c r="H5" s="42" t="n">
        <f aca="false">SUM(D5:G5)</f>
        <v>0</v>
      </c>
      <c r="I5" s="41"/>
    </row>
    <row r="6" customFormat="false" ht="27.75" hidden="false" customHeight="true" outlineLevel="0" collapsed="false">
      <c r="A6" s="39" t="s">
        <v>179</v>
      </c>
      <c r="B6" s="35" t="s">
        <v>180</v>
      </c>
      <c r="C6" s="40" t="s">
        <v>181</v>
      </c>
      <c r="D6" s="43"/>
      <c r="E6" s="43"/>
      <c r="F6" s="43"/>
      <c r="G6" s="43"/>
      <c r="H6" s="42" t="n">
        <f aca="false">SUM(D6:G6)</f>
        <v>0</v>
      </c>
      <c r="I6" s="43"/>
    </row>
    <row r="7" customFormat="false" ht="27.75" hidden="false" customHeight="true" outlineLevel="0" collapsed="false">
      <c r="A7" s="39" t="s">
        <v>182</v>
      </c>
      <c r="B7" s="27" t="s">
        <v>183</v>
      </c>
      <c r="C7" s="40" t="s">
        <v>184</v>
      </c>
      <c r="D7" s="41"/>
      <c r="E7" s="41"/>
      <c r="F7" s="41"/>
      <c r="G7" s="41"/>
      <c r="H7" s="42" t="n">
        <f aca="false">SUM(D7:G7)</f>
        <v>0</v>
      </c>
      <c r="I7" s="41"/>
    </row>
    <row r="8" customFormat="false" ht="27.75" hidden="false" customHeight="true" outlineLevel="0" collapsed="false">
      <c r="A8" s="39" t="s">
        <v>185</v>
      </c>
      <c r="B8" s="35" t="s">
        <v>186</v>
      </c>
      <c r="C8" s="40" t="s">
        <v>187</v>
      </c>
      <c r="D8" s="43"/>
      <c r="E8" s="43"/>
      <c r="F8" s="43"/>
      <c r="G8" s="43"/>
      <c r="H8" s="42" t="n">
        <f aca="false">SUM(D8:G8)</f>
        <v>0</v>
      </c>
      <c r="I8" s="43"/>
    </row>
    <row r="9" customFormat="false" ht="27.75" hidden="false" customHeight="true" outlineLevel="0" collapsed="false">
      <c r="A9" s="39" t="s">
        <v>188</v>
      </c>
      <c r="B9" s="27" t="s">
        <v>189</v>
      </c>
      <c r="C9" s="40" t="s">
        <v>190</v>
      </c>
      <c r="D9" s="41"/>
      <c r="E9" s="41"/>
      <c r="F9" s="41"/>
      <c r="G9" s="41"/>
      <c r="H9" s="42" t="n">
        <f aca="false">SUM(D9:G9)</f>
        <v>0</v>
      </c>
      <c r="I9" s="41"/>
    </row>
    <row r="10" customFormat="false" ht="27.75" hidden="false" customHeight="true" outlineLevel="0" collapsed="false">
      <c r="A10" s="39" t="s">
        <v>191</v>
      </c>
      <c r="B10" s="35" t="s">
        <v>192</v>
      </c>
      <c r="C10" s="40" t="s">
        <v>193</v>
      </c>
      <c r="D10" s="43"/>
      <c r="E10" s="43"/>
      <c r="F10" s="43"/>
      <c r="G10" s="43"/>
      <c r="H10" s="42" t="n">
        <f aca="false">SUM(D10:G10)</f>
        <v>0</v>
      </c>
      <c r="I10" s="43"/>
    </row>
    <row r="11" customFormat="false" ht="27.75" hidden="false" customHeight="true" outlineLevel="0" collapsed="false">
      <c r="A11" s="39" t="s">
        <v>194</v>
      </c>
      <c r="B11" s="27" t="s">
        <v>195</v>
      </c>
      <c r="C11" s="40" t="s">
        <v>196</v>
      </c>
      <c r="D11" s="41"/>
      <c r="E11" s="41"/>
      <c r="F11" s="41"/>
      <c r="G11" s="41"/>
      <c r="H11" s="42" t="n">
        <f aca="false">IFERROR(H8/H7*100,0)</f>
        <v>0</v>
      </c>
      <c r="I11" s="41"/>
    </row>
    <row r="12" customFormat="false" ht="27.75" hidden="false" customHeight="true" outlineLevel="0" collapsed="false">
      <c r="A12" s="39" t="s">
        <v>197</v>
      </c>
      <c r="B12" s="35" t="s">
        <v>198</v>
      </c>
      <c r="C12" s="40" t="s">
        <v>199</v>
      </c>
      <c r="D12" s="43"/>
      <c r="E12" s="43"/>
      <c r="F12" s="43"/>
      <c r="G12" s="43"/>
      <c r="H12" s="42"/>
      <c r="I12" s="43"/>
    </row>
    <row r="13" customFormat="false" ht="27.75" hidden="false" customHeight="true" outlineLevel="0" collapsed="false">
      <c r="A13" s="39" t="s">
        <v>200</v>
      </c>
      <c r="B13" s="27" t="s">
        <v>201</v>
      </c>
      <c r="C13" s="40" t="s">
        <v>202</v>
      </c>
      <c r="D13" s="41"/>
      <c r="E13" s="41"/>
      <c r="F13" s="41"/>
      <c r="G13" s="41"/>
      <c r="H13" s="42" t="n">
        <f aca="false">SUM(D12:G12)</f>
        <v>0</v>
      </c>
      <c r="I13" s="41"/>
    </row>
    <row r="14" customFormat="false" ht="27.75" hidden="false" customHeight="true" outlineLevel="0" collapsed="false">
      <c r="A14" s="39" t="s">
        <v>203</v>
      </c>
      <c r="B14" s="35" t="s">
        <v>204</v>
      </c>
      <c r="C14" s="40" t="s">
        <v>205</v>
      </c>
      <c r="D14" s="43"/>
      <c r="E14" s="43"/>
      <c r="F14" s="43"/>
      <c r="G14" s="43"/>
      <c r="H14" s="42" t="n">
        <f aca="false">IFERROR(AVERAGE(D13:G13),0)</f>
        <v>0</v>
      </c>
      <c r="I14" s="43"/>
    </row>
    <row r="16" customFormat="false" ht="19.5" hidden="false" customHeight="true" outlineLevel="0" collapsed="false">
      <c r="A16" s="44" t="s">
        <v>206</v>
      </c>
      <c r="B16" s="44"/>
      <c r="C16" s="44"/>
      <c r="D16" s="44"/>
      <c r="E16" s="44"/>
      <c r="F16" s="44"/>
      <c r="G16" s="44"/>
      <c r="H16" s="44"/>
      <c r="I16" s="44"/>
    </row>
  </sheetData>
  <mergeCells count="2">
    <mergeCell ref="A1:I1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2026-07-05T18:04:47Z</dcterms:created>
  <dc:creator>openpyxl</dc:creator>
  <dc:description/>
  <dc:language>en-US</dc:language>
  <cp:lastModifiedBy/>
  <dcterms:modified xsi:type="dcterms:W3CDTF">2026-07-05T18:05:11Z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